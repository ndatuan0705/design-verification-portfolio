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https://d.docs.live.net/72e3bfec65a6a2c0/Documents/Desktop/Vi_Mach/Project/Project_Demo/design-verification-portfolio/apb_timer_ip/docs/"/>
    </mc:Choice>
  </mc:AlternateContent>
  <xr:revisionPtr revIDLastSave="0" documentId="14_{4C82EB97-2748-464C-91AB-8E5B25E09A2B}" xr6:coauthVersionLast="47" xr6:coauthVersionMax="47" xr10:uidLastSave="{00000000-0000-0000-0000-000000000000}"/>
  <bookViews>
    <workbookView xWindow="-108" yWindow="-108" windowWidth="23256" windowHeight="12456" xr2:uid="{3587EFEC-8D9A-4C98-9936-48D5D12D96D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K7" i="1" l="1"/>
  <c r="K6" i="1"/>
  <c r="K4" i="1"/>
  <c r="K3" i="1"/>
  <c r="K5" i="1"/>
</calcChain>
</file>

<file path=xl/sharedStrings.xml><?xml version="1.0" encoding="utf-8"?>
<sst xmlns="http://schemas.openxmlformats.org/spreadsheetml/2006/main" count="409" uniqueCount="226">
  <si>
    <t>ID</t>
  </si>
  <si>
    <t>Item</t>
  </si>
  <si>
    <t>Sub item 1</t>
  </si>
  <si>
    <t>Sub item 2</t>
  </si>
  <si>
    <t>Test sequence</t>
  </si>
  <si>
    <t>Pass condition</t>
  </si>
  <si>
    <t>Pat name</t>
  </si>
  <si>
    <t>Result</t>
  </si>
  <si>
    <t>Register access</t>
  </si>
  <si>
    <t>TCR</t>
  </si>
  <si>
    <t>Reset value check</t>
  </si>
  <si>
    <t xml:space="preserve">After system reset is released, perform read access to TCR (offset= 0). </t>
  </si>
  <si>
    <t>Read value = 32'h0000_0100</t>
  </si>
  <si>
    <t>reg_init_chk</t>
  </si>
  <si>
    <t>PASSED</t>
  </si>
  <si>
    <t>R/W access</t>
  </si>
  <si>
    <t xml:space="preserve">1.Write 0000_0000 &amp; read back and compare
2. Write FFFF_FFFF &amp; readback &amp; compare 
3.Write 5555_5555  &amp; readback &amp; compare. Write all-0 to clear timer_en
4.Write AAAA_AAAA  &amp; readback &amp; compare 
5.Write 5AA5_A55A  &amp; readback &amp; compare </t>
  </si>
  <si>
    <r>
      <t xml:space="preserve">1. read value = 32'h0
</t>
    </r>
    <r>
      <rPr>
        <sz val="11"/>
        <color rgb="FFFF0000"/>
        <rFont val="Aptos Narrow"/>
        <family val="2"/>
        <scheme val="minor"/>
      </rPr>
      <t>2. read value = 32'h0 (can not write)</t>
    </r>
    <r>
      <rPr>
        <sz val="11"/>
        <color theme="1"/>
        <rFont val="Aptos Narrow"/>
        <family val="2"/>
        <charset val="163"/>
        <scheme val="minor"/>
      </rPr>
      <t xml:space="preserve">
3. read value = 32'h0000_0501
4. read value = 32'h0000_0501 (can not write)
5. read value = 32'h0000_0501 (can not write)</t>
    </r>
  </si>
  <si>
    <t>reg_rw_chk</t>
  </si>
  <si>
    <t>Byte access</t>
  </si>
  <si>
    <t>1. pstrb =  0x1, write 0xFFFF_FFFF. Read the register then clear it to 0
2. pstrb = 0x2, write 0xFFFF_F5FF: Read the register then clear it to 0.
3. pstrb = 0x4, write 0xFFFF_FFFF. Read the register then clear  it to 0
4. pstrb = 0x8, write 0xFFFF_FFFF. Read the register then clear it to 0
5. pstrb = 0x3, write 0x5555_5555. Read the register then clear it to 0.
6. pstrb = 0xC, write 0xFFFF_FFFF. Rread the register then clear it to 0</t>
  </si>
  <si>
    <t>1. Read value is 0x103. No pslverr
2. Read value is 0x500. No pslverr
3. Read value is  0. No pslverr 
4. Read value is 0. No pslverr
5. Read value is 0x501. No pslverr
6. Read value is 0x501. No pslverr</t>
  </si>
  <si>
    <t>reg_byte_access</t>
  </si>
  <si>
    <t>TDR0</t>
  </si>
  <si>
    <t xml:space="preserve">After system reset is released, perform read access to TDR0 (offset= 4). </t>
  </si>
  <si>
    <t>Read value = 32'h0000_0000</t>
  </si>
  <si>
    <t xml:space="preserve">1.Write 0000_0000 &amp; read back and compare
2. Write FFFF_FFFF &amp; readback &amp; compare 
3.Write 5555_5555  &amp; readback &amp; compare 
4.Write AAAA_AAAA  &amp; readback &amp; compare 
5.Write 5AA5_A55A  &amp; readback &amp; compare </t>
  </si>
  <si>
    <t xml:space="preserve">read value same as write value
</t>
  </si>
  <si>
    <t>1. pstrb =  0x1, write 0x1111_1111. Read the register.
2. pstrb = 0x2, write 0x2222_2222 : Read the register
3. pstrb = 0x4, write 0x3333_3333. Read the register 
4. pstrb = 0x8, write 0x4444_4444. Read the register 
5. pstrb = 0x3, write 0x5555_5555. Read the register 
6. pstrb = 0xC, write 0x6666_6666. Rread the register</t>
  </si>
  <si>
    <t>1. Read value is 0x11
2. Read value is 0x2211
3. Read value is  0x332211 
4. Read value is 0x44332211
5. Read value is 0x4433_5555
6. Read value is 0x6666_5555</t>
  </si>
  <si>
    <t>TDR1</t>
  </si>
  <si>
    <t xml:space="preserve">After system reset is released, perform read access to TDR1 (offset= 8). </t>
  </si>
  <si>
    <t>TCMP0</t>
  </si>
  <si>
    <t xml:space="preserve">After system reset is released, perform read access to TCMP0 (offset= C). </t>
  </si>
  <si>
    <t>Read value = 32'hFFFF_FFFF</t>
  </si>
  <si>
    <t>1. Read value is 0xFFFF_FF11
2. Read value is 0xFFFF_2211
3. Read value is  0xFF33_2211 
4. Read value is 0x44332211
5. Read value is 0x4433_5555
6. Read value is 0x6666_5555</t>
  </si>
  <si>
    <t>TCMP1</t>
  </si>
  <si>
    <t xml:space="preserve">After system reset is released, perform read access to TCMP1 (offset= 0x10). </t>
  </si>
  <si>
    <t>TIER</t>
  </si>
  <si>
    <t xml:space="preserve">After system reset is released, perform read access to TIER (offset= 0x14). </t>
  </si>
  <si>
    <t>1. read value = 32'h0
2. read value = 32'h1
3. read value = 32'h0000_0001
4. read value = 32'h0000_0000
5. read value = 32'h0000_0000</t>
  </si>
  <si>
    <t>1. pstrb =  0x1, write 0x1111_1111. Read the register.
2. pstrb = 0x2, write 0x2222_2222 : Read the register
3. pstrb = 0x4, write 0x3333_3333. Read the register 
4. pstrb = 0x8, write 0x4444_4444. Read the register 
5. pstrb = 0x3, write 0x6666_6666. Read the register 
6. pstrb = 0xC, write 0x7777_7777. Rread the register</t>
  </si>
  <si>
    <t>1. Read value is 0x1
2. Read value is 0x1
3. Read value is  0x1 
4. Read value is 0x1
5. Read value is 0x0
6. Read value is 0x0</t>
  </si>
  <si>
    <t>TISR</t>
  </si>
  <si>
    <t xml:space="preserve">After system reset is released, perform read access to TISR (offset= 0x18). </t>
  </si>
  <si>
    <t xml:space="preserve">
1.Clear interrupt by writing 1 to TISR
2. Read TISR to check it is 0
3.Write 0000_0000 &amp; read back and compare
4. Write FFFF_FFFF &amp; readback &amp; compare 
5.Write 5555_5555  &amp; readback &amp; compare 
6.Write AAAA_AAAA  &amp; readback &amp; compare 
7.Write 5AA5_A55A  &amp; readback &amp; compare </t>
  </si>
  <si>
    <t>Write is not effect, read is always 0</t>
  </si>
  <si>
    <t xml:space="preserve">1. assert interrupt
2. pstrb = 0x2, write 0xFFFF_FFFF. Read TISR
3. pstrb = 0x4, write 0xFFFF_FFFF. Read TISR
4. pstrb = 0x8, write 0xFFFF_FFFF. Read TISR
5. pstrb = 0xC, write 0xFFFF_FFFF. Read TISR
6. pstrb = 0x1, write 0x1. Read TISR
7. assert interrupt again
8. pstrb = 0x3, write 0x1. Read TISR
</t>
  </si>
  <si>
    <t xml:space="preserve">2-&gt;5: TISR.int_st keeps 1
6. TISR.int_st is 0
8. TISR.int_st is 0
</t>
  </si>
  <si>
    <t>THCSR</t>
  </si>
  <si>
    <t xml:space="preserve">After system reset is released, perform read access to THCSR (offset= 0x1C). </t>
  </si>
  <si>
    <t>Reserved registers</t>
  </si>
  <si>
    <t xml:space="preserve">R/W access </t>
  </si>
  <si>
    <t>R/W 0xFFFF_FFFF to last address  0x4000_1FFC
R/W 0xFFFF_FFFF to first reserved address 0x4000_0020</t>
  </si>
  <si>
    <t>reg_reserved_chk</t>
  </si>
  <si>
    <t>One-hot check</t>
  </si>
  <si>
    <r>
      <t xml:space="preserve">Write </t>
    </r>
    <r>
      <rPr>
        <sz val="11"/>
        <color rgb="FFFF0000"/>
        <rFont val="Aptos Narrow"/>
        <family val="2"/>
        <scheme val="minor"/>
      </rPr>
      <t>different</t>
    </r>
    <r>
      <rPr>
        <sz val="11"/>
        <color theme="1"/>
        <rFont val="Aptos Narrow"/>
        <family val="2"/>
        <charset val="163"/>
        <scheme val="minor"/>
      </rPr>
      <t xml:space="preserve"> value to all registers. After finish all, readback and compare </t>
    </r>
  </si>
  <si>
    <t>Read is same as expected value</t>
  </si>
  <si>
    <t>reg_1hot_chk</t>
  </si>
  <si>
    <t>Counter</t>
  </si>
  <si>
    <t>Counting behavior</t>
  </si>
  <si>
    <t xml:space="preserve">Check counting at boundary of TDR0 is correct
</t>
  </si>
  <si>
    <t>Set TDR0 = 0xffff_ff00
Set timer_en = 1
Wait 256 cycle
Halt the counter
Read TDR0 &amp; TDR1</t>
  </si>
  <si>
    <t>TDR1 is 1
TDR0 is counting from the beginning.</t>
  </si>
  <si>
    <t>cnt_counting_chk</t>
  </si>
  <si>
    <t>Set TDR0 = 0xffff_ff00
Set TDR1 = 0xffff_ffff
Set timer_en = 1
Wait 256 cycle
Read TDR0 &amp; TDR1</t>
  </si>
  <si>
    <t>TDR1 is 0
TDR0 is counting from the beginning</t>
  </si>
  <si>
    <t>Counter's value can be read from TDR0/TDR1</t>
  </si>
  <si>
    <t xml:space="preserve">Check counting at boundary of TDR0/1
</t>
  </si>
  <si>
    <t>Set TDR0 = 0xffff_ff00
Set TDR1 = 0xffff_ffff
Set timer_en = 1
Wait 256 cycle
Halt the counter
Read TDR0 &amp; TDR1</t>
  </si>
  <si>
    <t>Update TDR0/TDR1 when timer is working</t>
  </si>
  <si>
    <t>Set timer_en = 1, counter counts from 0
Wait 256 cycle
Read counter and check it is counting normally
Set TDR1 = 0x0
Set TDR0 = 0xffff_ff00
Wait 256 cycle and read the counter</t>
  </si>
  <si>
    <t>TDR is 1, TDR0 is counting from the beginning normally</t>
  </si>
  <si>
    <t>Timer is disabled and resumed</t>
  </si>
  <si>
    <t>When timer_en changed from 1-&gt;0. Counter value is reset</t>
  </si>
  <si>
    <t>Setting for counter counts normally
Set timer_en = 0</t>
  </si>
  <si>
    <t>Counter is reset to 0</t>
  </si>
  <si>
    <t>When timer_en changed from 1-&gt;0. Counter value is reset
After that, can set value to TDR0/1 while timer_en is 0</t>
  </si>
  <si>
    <t>Setting for counter counts normally
Set timer_en = 0
Write value to TDR0/1 and read back</t>
  </si>
  <si>
    <t>Counter is updated by APB write normally</t>
  </si>
  <si>
    <t>After timer_en changed from 1-&gt;0-&gt;1, counter works normally</t>
  </si>
  <si>
    <t xml:space="preserve">Setting for counter to count normally
Set timer_en = 0
Change the div_en/div_val
Set timer_en = 1
Check the period when counter resume </t>
  </si>
  <si>
    <t>The counting preriod must be correct for all mode</t>
  </si>
  <si>
    <t>Counter continue counting</t>
  </si>
  <si>
    <t>When interrupt occurs</t>
  </si>
  <si>
    <t>Setting for interrupt occurs
Read TDR0/1</t>
  </si>
  <si>
    <t>Counter continues counting normally</t>
  </si>
  <si>
    <t>interrupt_chk</t>
  </si>
  <si>
    <t>When overflow</t>
  </si>
  <si>
    <t>Setting for overflow occurs
Read TDR0/1</t>
  </si>
  <si>
    <t>Counter control</t>
  </si>
  <si>
    <t>default mode</t>
  </si>
  <si>
    <t xml:space="preserve">div_en = 0 </t>
  </si>
  <si>
    <t>Set timer_en = 1
Set div_en = 0</t>
  </si>
  <si>
    <t>Count same as system clock freq</t>
  </si>
  <si>
    <t>cnt_ctrl_chk</t>
  </si>
  <si>
    <t>control mode</t>
  </si>
  <si>
    <t xml:space="preserve">div_en = 1, div_val = 0 </t>
  </si>
  <si>
    <t>Set timer_en = 1
Set div_en = 1
Set div_val = 0</t>
  </si>
  <si>
    <t>div_en = 1, div_val = 1</t>
  </si>
  <si>
    <t>Set timer_en = 1
Set div_en = 1
Set div_val = 1</t>
  </si>
  <si>
    <t>Count freq = count/2</t>
  </si>
  <si>
    <t>div_en = 1, div_val = 2</t>
  </si>
  <si>
    <t>Set timer_en = 1
Set div_en = 1
Set div_val = 2</t>
  </si>
  <si>
    <t>Count freq = count/4</t>
  </si>
  <si>
    <t>div_en = 1, div_val = 3</t>
  </si>
  <si>
    <t>Set timer_en = 1
Set div_en = 1
Set div_val = 3</t>
  </si>
  <si>
    <t>Count freq = count/8</t>
  </si>
  <si>
    <t>div_en = 1, div_val = 4</t>
  </si>
  <si>
    <t>Set timer_en = 1
Set div_en = 1
Set div_val = 4</t>
  </si>
  <si>
    <t>Count freq = count/16</t>
  </si>
  <si>
    <t>div_en = 1, div_val = 5</t>
  </si>
  <si>
    <t>Set timer_en = 1
Set div_en = 1
Set div_val = 5</t>
  </si>
  <si>
    <t>Count freq = count/32</t>
  </si>
  <si>
    <t>div_en = 1, div_val = 6</t>
  </si>
  <si>
    <t>Set timer_en = 1
Set div_en = 1
Set div_val = 6</t>
  </si>
  <si>
    <t>Count freq = count/64</t>
  </si>
  <si>
    <t>div_en = 1, div_val = 7</t>
  </si>
  <si>
    <t>Set timer_en = 1
Set div_en = 1
Set div_val = 7</t>
  </si>
  <si>
    <t>Count freq = count/128</t>
  </si>
  <si>
    <t>div_en = 1, div_val = 8</t>
  </si>
  <si>
    <t>Set timer_en = 1
Set div_en = 1
Set div_val = 8</t>
  </si>
  <si>
    <t>Count freq = count/256</t>
  </si>
  <si>
    <t>Set div_val but does not set div_en</t>
  </si>
  <si>
    <t>div_en = 0, div_val = 2</t>
  </si>
  <si>
    <t>Set div_val = 2
Set timer_en = 1</t>
  </si>
  <si>
    <t>Timer counts with system clock</t>
  </si>
  <si>
    <t>Halt</t>
  </si>
  <si>
    <t xml:space="preserve">Counter is halted when debug mode is High and can be resumed </t>
  </si>
  <si>
    <t>After halted, counter is stopped. After halted is cleared, counter can be resumed normally with any counting mode.</t>
  </si>
  <si>
    <t xml:space="preserve">Set div_en/div_val
Set timer_en is 1
Set halt_req = 1 in dbg_mode --&gt; check counter is stopped and halt_ack is 1
Set halt_req = 0, check counter can be resumed correctly.
</t>
  </si>
  <si>
    <t>Counter is stopped when halt_req = 1 in dbg mode
After halted, counter can be resumed counting correctly</t>
  </si>
  <si>
    <t>cnt_halt_chk</t>
  </si>
  <si>
    <t>Counter is not halted when debug mode is Low</t>
  </si>
  <si>
    <t>Counter is not halted when halt_req is asserted in normal mode (not debug mode)</t>
  </si>
  <si>
    <t>Set timer_en = 1
Set halt_req = 1
Check counter value and halt_ack</t>
  </si>
  <si>
    <t>Counter is not stopped
Halt_ack is 0</t>
  </si>
  <si>
    <t xml:space="preserve">APB </t>
  </si>
  <si>
    <t>Normal APB</t>
  </si>
  <si>
    <t>Issue write then read to TDR0</t>
  </si>
  <si>
    <t>Read data is correct</t>
  </si>
  <si>
    <t>apb_protocol_chk</t>
  </si>
  <si>
    <t>Wrong protocol</t>
  </si>
  <si>
    <t>Psel does not assert, only Penable</t>
  </si>
  <si>
    <t>Issue wrong APB write
The read normally</t>
  </si>
  <si>
    <t>Data of register is not changed</t>
  </si>
  <si>
    <t>Penable does not assert, only Psel</t>
  </si>
  <si>
    <t>Pready</t>
  </si>
  <si>
    <t>Pready is not High when Penable is asserted</t>
  </si>
  <si>
    <t>Issue one transaction and check pready</t>
  </si>
  <si>
    <t>Pready is not High when penable is 1</t>
  </si>
  <si>
    <t>apb_rw_chk</t>
  </si>
  <si>
    <t>Pslverr</t>
  </si>
  <si>
    <t>Access wrong value of div_val</t>
  </si>
  <si>
    <t>1.Write 0x0000_0900 to TCR
2.Write 0x0000_0A00 to TCR
3.Write 0x0000_0B00 to TCR
4.Write 0x0000_0C00 to TCR
5.Write 0x0000_0D00 to TCR
6.Write 0x0000_0E00 to TCR
7.Write 0x0000_0F00 to TCR
8.Write 0x0000_0800 to TCR</t>
  </si>
  <si>
    <t>For no. 1-&gt;7, TCR is not changed when read back (0x0000_0100). Pslv err = 1
For 8, read back is 0x0000_0800. Pslverr = 0</t>
  </si>
  <si>
    <t>apb_pslverr_chk</t>
  </si>
  <si>
    <t>Change value of div_en and div_val when timer_en is High</t>
  </si>
  <si>
    <t>1. Write 0x1 to TCR (timer_en = 1)
2. Write 0x0000_0103 (set div_val = 1, div_en = 1 )
3. Write 0x0000_0100 (set div_val = 1 and clear timer_en = 0 )
4. Write 0x0000_0002 (set div_en = 1 and clear timer_en = 0)</t>
  </si>
  <si>
    <t>1. read back is 0x1, pslverr=0
2. read back is 0x1, pslverr=1
3. read back is 0x1, pslverr=1
4. read bask is 0x1, pslverr=1</t>
  </si>
  <si>
    <t>timing of pslverr</t>
  </si>
  <si>
    <t>Assert pslverr and check the timing</t>
  </si>
  <si>
    <t>Pslverr is 1 when pready is 1</t>
  </si>
  <si>
    <t>Multiple access</t>
  </si>
  <si>
    <t>WW-RR</t>
  </si>
  <si>
    <t>Issue a multiple access to timer
Write continuously to TDR0/1
Read continuously to TDR0/1</t>
  </si>
  <si>
    <t>apb_multiple_access</t>
  </si>
  <si>
    <t>WR-WR</t>
  </si>
  <si>
    <t>Issue a multiple access to timer
Write and read TDR0 continuously
Write and read TDR1 continuously</t>
  </si>
  <si>
    <t>Not aligned access</t>
  </si>
  <si>
    <t>Issue un-aligned access to timer
Example: write 0x1 0x2 0x3 then read the whole register</t>
  </si>
  <si>
    <t>Register data is not changed</t>
  </si>
  <si>
    <t>apb_unaligned_chk</t>
  </si>
  <si>
    <t>Reset</t>
  </si>
  <si>
    <t>Register</t>
  </si>
  <si>
    <t>After reset, initial value is correct</t>
  </si>
  <si>
    <t>Set timer to work normally
Assert reset
Check initial value of all register</t>
  </si>
  <si>
    <t>Initial value must be correct</t>
  </si>
  <si>
    <t>Timer</t>
  </si>
  <si>
    <t>After reset, timer can work normally</t>
  </si>
  <si>
    <t>Set timer to work normally
Wait until interrupt asserts
Assert reset
Setting TCMP0/1, enable interrupt
Set timer_en = 1`</t>
  </si>
  <si>
    <t>When reset occurs, interrupt is cleared.
Check that interrupt can be asserted normally after reset</t>
  </si>
  <si>
    <t>Interrupt</t>
  </si>
  <si>
    <t>interrupt pending</t>
  </si>
  <si>
    <t>Set condition</t>
  </si>
  <si>
    <t>Set CMP = 0xff
Set timer_en = 1
Wait 256 cycle and read TISR.int_st</t>
  </si>
  <si>
    <t>interrupt output is not asserted
TISR.int_st = 1</t>
  </si>
  <si>
    <t>Clear condition</t>
  </si>
  <si>
    <t>Set CMP = 0xff
Set timer_en = 1
Wait 256 cycle and read TISR.int_st
Write 0 to TISR.int_st and read back
Write 1 to TISR.int_st and read back</t>
  </si>
  <si>
    <t>interrupt output is not asserted
Write 0 to TISR.int_st, it remains 1
Write 1 to TISR.int_st, it is cleared to 0</t>
  </si>
  <si>
    <t>Manual condition</t>
  </si>
  <si>
    <t>Write TDR0/1 = 0xffff_ffff
Read TISR.int_st</t>
  </si>
  <si>
    <t>interrupt enable</t>
  </si>
  <si>
    <t>Set CMP = 0xff
Set TIER.int_en = 1
Set timer_en = 1
Wait 256 cycle and read TISR.int_st</t>
  </si>
  <si>
    <t>interrupt output is asserted
TISR.int_st = 1</t>
  </si>
  <si>
    <t>Set CMP = 0xff
Set TIER.int_en = 1
Set timer_en = 1
Wait 256 cycle and read TISR.int_st
Write 0 to TISR.int_st and read back
Write 1 to TISR.int_st and read back</t>
  </si>
  <si>
    <t>interrupt output is not asserted
Write 0 to TISR.int_st, it remains 1
Write 1 to TISR.int_st, it is cleared to 0
interrupt output is cleared to 0</t>
  </si>
  <si>
    <t>Write TDR0/1 = 0xffff_ffff
Set TIER.int_en = 1
Read TISR.int_st</t>
  </si>
  <si>
    <t>Mask condition</t>
  </si>
  <si>
    <t>Set CMP = 0xff
Set TIER.int_en = 1
Set timer_en = 1
Wait 256 cycle and read TISR.int_st
set TIER.int_en = 0, check interrupt output and read TISR.int_st</t>
  </si>
  <si>
    <t>interrupt output  is negated, TISR.int_st still keeps 1</t>
  </si>
  <si>
    <t>Once asserted, interrupt must be kept</t>
  </si>
  <si>
    <t xml:space="preserve">Setting to assert the interrupt
Set timer_en = 0
Check interrupt output and TISR.int_st
</t>
  </si>
  <si>
    <t>Interrupt keeps High
int_st keeps 1</t>
  </si>
  <si>
    <t>Clear priority</t>
  </si>
  <si>
    <t>TISR.int_st is 0 (Software clear overrides Hardware set)</t>
  </si>
  <si>
    <t>Logic Priority</t>
  </si>
  <si>
    <t>Hardware Auto-Clear vs APB Write</t>
  </si>
  <si>
    <t>TCMP0/1</t>
  </si>
  <si>
    <t>Update compare value during operation</t>
  </si>
  <si>
    <t>Set TCMP = 0xFFFF, timer_en = 1
Wait until counter = 0x0FFF
Use APB to write 0xAAAA to TCMP0
Wait until counter reaches 0xAAAA.</t>
  </si>
  <si>
    <t>Write is successful without pslverr
Interrupt asserts correctly when counter reaches 0xAAAA.</t>
  </si>
  <si>
    <t>APB Write vs Hardware Increment</t>
  </si>
  <si>
    <t>RW1C vs Hardware Set</t>
  </si>
  <si>
    <t>Set TCMP = 0xFF, timer_en = 1
Wait until counter reaches 0xFF
At the EXACT same clock cycle, use APB to write 1 to TISR.int_st</t>
  </si>
  <si>
    <t>cnt_behavior_chk</t>
  </si>
  <si>
    <t>Total items</t>
  </si>
  <si>
    <t>Passed items</t>
  </si>
  <si>
    <t>Failed items</t>
  </si>
  <si>
    <t>NA items</t>
  </si>
  <si>
    <t>Passing rate</t>
  </si>
  <si>
    <t>SUMMARY REPORT</t>
  </si>
  <si>
    <t>Case A: TDR0 is 32'h5555_5555 (APB write after auto-clear is not lost).
Case B: TDR0 and TDR1 are 32'h0000_0000 (HW auto-clear clears the counter).</t>
  </si>
  <si>
    <t>1. Set div_en = 0 (counter increments every clock), timer_en = 1, wait 20 cycles.
2. Write 0xAAAA_AAAA to TDR0 while the counter is running (the write collides with the HW increment).
3. Read back TDR0 and TDR1.</t>
  </si>
  <si>
    <t>1. Set timer_en = 1, wait some cycles.
2. Write 0 to TCR.timer_en (timer_en falls, HW auto-clear is triggered).
3. Case A: immediately issue an APB write of 0x5555_5555 to TDR0 (back-to-back, right after the TCR write). Read back TDR0.
4. Case B: before step 2, write 0xAAAA_AAAA to TDR0. Then stop the timer as in step 2. Read back TDR0 and TDR1.
Note: a same-cycle collision between timer_en_fall and an APB write cannot
occur with a protocol-compliant APB master (min. 3 cycles per transfer,
timer_en_fall lasts 1 cycle right after the TCR write completes).</t>
  </si>
  <si>
    <t>TDR0 is in range [32'hAAAA_AAAA, 32'hAAAA_AAAA + 32] and TDR1 is 32'h0
(APB Write overrides Hardware Increment, then counter keeps counting during the read latency).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</si>
</sst>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charset val="163"/>
      <scheme val="minor"/>
    </font>
    <font>
      <sz val="11"/>
      <color rgb="FFFF0000"/>
      <name val="Aptos Narrow"/>
      <family val="2"/>
      <scheme val="minor"/>
    </font>
    <font>
      <b/>
      <sz val="11"/>
      <color theme="1"/>
      <name val="Aptos Narrow"/>
      <family val="2"/>
      <scheme val="minor"/>
    </font>
    <font>
      <sz val="11"/>
      <color theme="1"/>
      <name val="Aptos Narrow"/>
      <family val="2"/>
    </font>
    <font>
      <b/>
      <sz val="11"/>
      <color theme="1"/>
      <name val="Aptos Narrow"/>
      <family val="2"/>
    </font>
  </fonts>
  <fills count="7">
    <fill>
      <patternFill patternType="none"/>
    </fill>
    <fill>
      <patternFill patternType="gray125"/>
    </fill>
    <fill>
      <patternFill patternType="solid">
        <fgColor rgb="FF00B050"/>
        <bgColor indexed="64"/>
      </patternFill>
    </fill>
    <fill>
      <patternFill patternType="solid">
        <fgColor theme="0"/>
        <bgColor indexed="64"/>
      </patternFill>
    </fill>
    <fill>
      <patternFill patternType="solid">
        <fgColor rgb="FF00B050"/>
        <bgColor rgb="FF000000"/>
      </patternFill>
    </fill>
    <fill>
      <patternFill patternType="solid">
        <fgColor theme="6" tint="0.39997558519241921"/>
        <bgColor indexed="64"/>
      </patternFill>
    </fill>
    <fill>
      <patternFill patternType="solid">
        <fgColor theme="6" tint="0.39997558519241921"/>
        <bgColor rgb="FF000000"/>
      </patternFill>
    </fill>
  </fills>
  <borders count="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3">
    <xf numFmtId="0" fontId="0" fillId="0" borderId="0" xfId="0"/>
    <xf numFmtId="0" fontId="0" fillId="3" borderId="1" xfId="0" applyFill="1" applyBorder="1" applyAlignment="1">
      <alignment vertical="center" wrapText="1"/>
    </xf>
    <xf numFmtId="0" fontId="0" fillId="0" borderId="1" xfId="0" applyBorder="1" applyAlignment="1">
      <alignment vertical="center" wrapText="1"/>
    </xf>
    <xf numFmtId="0" fontId="0" fillId="0" borderId="1" xfId="0" applyBorder="1" applyAlignment="1">
      <alignment wrapText="1"/>
    </xf>
    <xf numFmtId="0" fontId="0" fillId="3" borderId="0" xfId="0" applyFill="1" applyAlignment="1">
      <alignment vertical="center" wrapText="1"/>
    </xf>
    <xf numFmtId="0" fontId="0" fillId="0" borderId="0" xfId="0" applyAlignment="1">
      <alignment vertical="center" wrapText="1"/>
    </xf>
    <xf numFmtId="0" fontId="2" fillId="2" borderId="1" xfId="0" applyFont="1" applyFill="1" applyBorder="1" applyAlignment="1">
      <alignment horizontal="center" vertical="center" wrapText="1"/>
    </xf>
    <xf numFmtId="0" fontId="4" fillId="6" borderId="4" xfId="0" applyFont="1" applyFill="1" applyBorder="1" applyAlignment="1">
      <alignment horizontal="center" vertical="center"/>
    </xf>
    <xf numFmtId="0" fontId="3" fillId="0" borderId="5" xfId="0" applyFont="1" applyBorder="1" applyAlignment="1">
      <alignment horizontal="center" vertical="center"/>
    </xf>
    <xf numFmtId="0" fontId="4" fillId="6" borderId="6" xfId="0" applyFont="1" applyFill="1" applyBorder="1" applyAlignment="1">
      <alignment horizontal="center" vertical="center"/>
    </xf>
    <xf numFmtId="0" fontId="3" fillId="4" borderId="7" xfId="0" applyFont="1" applyFill="1" applyBorder="1" applyAlignment="1">
      <alignment horizontal="center" vertical="center"/>
    </xf>
    <xf numFmtId="0" fontId="2" fillId="5" borderId="2" xfId="0" applyFont="1" applyFill="1" applyBorder="1" applyAlignment="1">
      <alignment horizontal="center" vertical="center"/>
    </xf>
    <xf numFmtId="0" fontId="0" fillId="5" borderId="3" xfId="0" applyFill="1" applyBorder="1" applyAlignment="1">
      <alignment horizontal="center" vertical="center"/>
    </xf>
  </cellXfs>
  <cellStyles count="1">
    <cellStyle name="Normal" xfId="0" builtinId="0"/>
  </cellStyles>
  <dxfs count="2">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DDDF5-FF75-48EE-A0A5-30937820CACA}">
  <dimension ref="A1:K75"/>
  <sheetViews>
    <sheetView tabSelected="1" topLeftCell="D48" workbookViewId="0">
      <selection activeCell="E38" sqref="E38"/>
    </sheetView>
  </sheetViews>
  <sheetFormatPr defaultRowHeight="14.4" x14ac:dyDescent="0.3"/>
  <cols>
    <col min="1" max="1" width="3" bestFit="1" customWidth="1"/>
    <col min="2" max="2" width="20" customWidth="1"/>
    <col min="3" max="3" width="22.33203125" bestFit="1" customWidth="1"/>
    <col min="4" max="4" width="33.21875" customWidth="1"/>
    <col min="5" max="5" width="63.5546875" customWidth="1"/>
    <col min="6" max="6" width="50.6640625" customWidth="1"/>
    <col min="7" max="7" width="18.88671875" customWidth="1"/>
    <col min="8" max="8" width="7.44140625" bestFit="1" customWidth="1"/>
    <col min="10" max="10" width="19.77734375" customWidth="1"/>
    <col min="11" max="11" width="8.88671875" customWidth="1"/>
  </cols>
  <sheetData>
    <row r="1" spans="1:11" ht="30" customHeight="1" thickBot="1" x14ac:dyDescent="0.35">
      <c r="A1" s="6" t="s">
        <v>0</v>
      </c>
      <c r="B1" s="6" t="s">
        <v>1</v>
      </c>
      <c r="C1" s="6" t="s">
        <v>2</v>
      </c>
      <c r="D1" s="6" t="s">
        <v>3</v>
      </c>
      <c r="E1" s="6" t="s">
        <v>4</v>
      </c>
      <c r="F1" s="6" t="s">
        <v>5</v>
      </c>
      <c r="G1" s="6" t="s">
        <v>6</v>
      </c>
      <c r="H1" s="6" t="s">
        <v>7</v>
      </c>
    </row>
    <row r="2" spans="1:11" ht="30.6" customHeight="1" x14ac:dyDescent="0.3">
      <c r="A2" s="2">
        <v>1</v>
      </c>
      <c r="B2" s="1" t="s">
        <v>8</v>
      </c>
      <c r="C2" s="1" t="s">
        <v>9</v>
      </c>
      <c r="D2" s="1" t="s">
        <v>10</v>
      </c>
      <c r="E2" s="1" t="s">
        <v>11</v>
      </c>
      <c r="F2" s="1" t="s">
        <v>12</v>
      </c>
      <c r="G2" s="1" t="s">
        <v>13</v>
      </c>
      <c r="H2" s="2" t="s">
        <v>14</v>
      </c>
      <c r="J2" s="11" t="s">
        <v>221</v>
      </c>
      <c r="K2" s="12"/>
    </row>
    <row r="3" spans="1:11" ht="72" x14ac:dyDescent="0.3">
      <c r="A3" s="2">
        <v>2</v>
      </c>
      <c r="B3" s="1"/>
      <c r="C3" s="1"/>
      <c r="D3" s="1" t="s">
        <v>15</v>
      </c>
      <c r="E3" s="1" t="s">
        <v>16</v>
      </c>
      <c r="F3" s="1" t="s">
        <v>17</v>
      </c>
      <c r="G3" s="1" t="s">
        <v>18</v>
      </c>
      <c r="H3" s="2" t="s">
        <v>14</v>
      </c>
      <c r="J3" s="7" t="s">
        <v>216</v>
      </c>
      <c r="K3" s="8">
        <f>MAX(A2:A73)</f>
        <v>72</v>
      </c>
    </row>
    <row r="4" spans="1:11" ht="86.4" x14ac:dyDescent="0.3">
      <c r="A4" s="2">
        <v>3</v>
      </c>
      <c r="B4" s="1"/>
      <c r="C4" s="1"/>
      <c r="D4" s="1" t="s">
        <v>19</v>
      </c>
      <c r="E4" s="1" t="s">
        <v>20</v>
      </c>
      <c r="F4" s="1" t="s">
        <v>21</v>
      </c>
      <c r="G4" s="1" t="s">
        <v>22</v>
      </c>
      <c r="H4" s="2" t="s">
        <v>14</v>
      </c>
      <c r="J4" s="7" t="s">
        <v>217</v>
      </c>
      <c r="K4" s="8">
        <f>COUNTIFS($H$2:$H$73,"PASSED")</f>
        <v>72</v>
      </c>
    </row>
    <row r="5" spans="1:11" x14ac:dyDescent="0.3">
      <c r="A5" s="2">
        <v>4</v>
      </c>
      <c r="B5" s="1"/>
      <c r="C5" s="1" t="s">
        <v>23</v>
      </c>
      <c r="D5" s="1" t="s">
        <v>10</v>
      </c>
      <c r="E5" s="1" t="s">
        <v>24</v>
      </c>
      <c r="F5" s="1" t="s">
        <v>25</v>
      </c>
      <c r="G5" s="1" t="s">
        <v>13</v>
      </c>
      <c r="H5" s="2" t="s">
        <v>14</v>
      </c>
      <c r="J5" s="7" t="s">
        <v>218</v>
      </c>
      <c r="K5" s="8">
        <f>COUNTIFS($I$9:$I$76,"FAILED")</f>
        <v>0</v>
      </c>
    </row>
    <row r="6" spans="1:11" ht="72" x14ac:dyDescent="0.3">
      <c r="A6" s="2">
        <v>5</v>
      </c>
      <c r="B6" s="1"/>
      <c r="C6" s="1"/>
      <c r="D6" s="1" t="s">
        <v>15</v>
      </c>
      <c r="E6" s="1" t="s">
        <v>26</v>
      </c>
      <c r="F6" s="1" t="s">
        <v>27</v>
      </c>
      <c r="G6" s="1" t="s">
        <v>18</v>
      </c>
      <c r="H6" s="2" t="s">
        <v>14</v>
      </c>
      <c r="J6" s="7" t="s">
        <v>219</v>
      </c>
      <c r="K6" s="8">
        <f>K3-(K4+K5)</f>
        <v>0</v>
      </c>
    </row>
    <row r="7" spans="1:11" ht="87" thickBot="1" x14ac:dyDescent="0.35">
      <c r="A7" s="2">
        <v>6</v>
      </c>
      <c r="B7" s="1"/>
      <c r="C7" s="1"/>
      <c r="D7" s="1" t="s">
        <v>19</v>
      </c>
      <c r="E7" s="1" t="s">
        <v>28</v>
      </c>
      <c r="F7" s="1" t="s">
        <v>29</v>
      </c>
      <c r="G7" s="1" t="s">
        <v>22</v>
      </c>
      <c r="H7" s="2" t="s">
        <v>14</v>
      </c>
      <c r="J7" s="9" t="s">
        <v>220</v>
      </c>
      <c r="K7" s="10">
        <f>K4/K3*100</f>
        <v>100</v>
      </c>
    </row>
    <row r="8" spans="1:11" x14ac:dyDescent="0.3">
      <c r="A8" s="2">
        <v>7</v>
      </c>
      <c r="B8" s="1"/>
      <c r="C8" s="1" t="s">
        <v>30</v>
      </c>
      <c r="D8" s="1" t="s">
        <v>10</v>
      </c>
      <c r="E8" s="1" t="s">
        <v>31</v>
      </c>
      <c r="F8" s="1" t="s">
        <v>25</v>
      </c>
      <c r="G8" s="1" t="s">
        <v>13</v>
      </c>
      <c r="H8" s="2" t="s">
        <v>14</v>
      </c>
    </row>
    <row r="9" spans="1:11" ht="72" x14ac:dyDescent="0.3">
      <c r="A9" s="2">
        <v>8</v>
      </c>
      <c r="B9" s="1"/>
      <c r="C9" s="1"/>
      <c r="D9" s="1" t="s">
        <v>15</v>
      </c>
      <c r="E9" s="1" t="s">
        <v>26</v>
      </c>
      <c r="F9" s="1" t="s">
        <v>27</v>
      </c>
      <c r="G9" s="1" t="s">
        <v>18</v>
      </c>
      <c r="H9" s="2" t="s">
        <v>14</v>
      </c>
    </row>
    <row r="10" spans="1:11" ht="86.4" x14ac:dyDescent="0.3">
      <c r="A10" s="2">
        <v>9</v>
      </c>
      <c r="B10" s="1"/>
      <c r="C10" s="1"/>
      <c r="D10" s="1" t="s">
        <v>19</v>
      </c>
      <c r="E10" s="1" t="s">
        <v>28</v>
      </c>
      <c r="F10" s="1" t="s">
        <v>29</v>
      </c>
      <c r="G10" s="1" t="s">
        <v>22</v>
      </c>
      <c r="H10" s="2" t="s">
        <v>14</v>
      </c>
    </row>
    <row r="11" spans="1:11" x14ac:dyDescent="0.3">
      <c r="A11" s="2">
        <v>10</v>
      </c>
      <c r="B11" s="1"/>
      <c r="C11" s="1" t="s">
        <v>32</v>
      </c>
      <c r="D11" s="1" t="s">
        <v>10</v>
      </c>
      <c r="E11" s="1" t="s">
        <v>33</v>
      </c>
      <c r="F11" s="1" t="s">
        <v>34</v>
      </c>
      <c r="G11" s="1" t="s">
        <v>13</v>
      </c>
      <c r="H11" s="2" t="s">
        <v>14</v>
      </c>
    </row>
    <row r="12" spans="1:11" ht="72" x14ac:dyDescent="0.3">
      <c r="A12" s="2">
        <v>11</v>
      </c>
      <c r="B12" s="1"/>
      <c r="C12" s="1"/>
      <c r="D12" s="1" t="s">
        <v>15</v>
      </c>
      <c r="E12" s="1" t="s">
        <v>26</v>
      </c>
      <c r="F12" s="1" t="s">
        <v>27</v>
      </c>
      <c r="G12" s="1" t="s">
        <v>18</v>
      </c>
      <c r="H12" s="2" t="s">
        <v>14</v>
      </c>
    </row>
    <row r="13" spans="1:11" ht="86.4" x14ac:dyDescent="0.3">
      <c r="A13" s="2">
        <v>12</v>
      </c>
      <c r="B13" s="1"/>
      <c r="C13" s="1"/>
      <c r="D13" s="1" t="s">
        <v>19</v>
      </c>
      <c r="E13" s="1" t="s">
        <v>28</v>
      </c>
      <c r="F13" s="1" t="s">
        <v>35</v>
      </c>
      <c r="G13" s="1" t="s">
        <v>22</v>
      </c>
      <c r="H13" s="2" t="s">
        <v>14</v>
      </c>
    </row>
    <row r="14" spans="1:11" x14ac:dyDescent="0.3">
      <c r="A14" s="2">
        <v>13</v>
      </c>
      <c r="B14" s="1"/>
      <c r="C14" s="1" t="s">
        <v>36</v>
      </c>
      <c r="D14" s="1" t="s">
        <v>10</v>
      </c>
      <c r="E14" s="1" t="s">
        <v>37</v>
      </c>
      <c r="F14" s="1" t="s">
        <v>34</v>
      </c>
      <c r="G14" s="1" t="s">
        <v>13</v>
      </c>
      <c r="H14" s="2" t="s">
        <v>14</v>
      </c>
    </row>
    <row r="15" spans="1:11" ht="72" x14ac:dyDescent="0.3">
      <c r="A15" s="2">
        <v>14</v>
      </c>
      <c r="B15" s="1"/>
      <c r="C15" s="1"/>
      <c r="D15" s="1" t="s">
        <v>15</v>
      </c>
      <c r="E15" s="1" t="s">
        <v>26</v>
      </c>
      <c r="F15" s="1" t="s">
        <v>27</v>
      </c>
      <c r="G15" s="1" t="s">
        <v>18</v>
      </c>
      <c r="H15" s="2" t="s">
        <v>14</v>
      </c>
    </row>
    <row r="16" spans="1:11" ht="86.4" x14ac:dyDescent="0.3">
      <c r="A16" s="2">
        <v>15</v>
      </c>
      <c r="B16" s="1"/>
      <c r="C16" s="1"/>
      <c r="D16" s="1" t="s">
        <v>19</v>
      </c>
      <c r="E16" s="1" t="s">
        <v>28</v>
      </c>
      <c r="F16" s="1" t="s">
        <v>35</v>
      </c>
      <c r="G16" s="1" t="s">
        <v>22</v>
      </c>
      <c r="H16" s="2" t="s">
        <v>14</v>
      </c>
    </row>
    <row r="17" spans="1:8" ht="57.6" x14ac:dyDescent="0.3">
      <c r="A17" s="2">
        <v>16</v>
      </c>
      <c r="B17" s="1"/>
      <c r="C17" s="2" t="s">
        <v>208</v>
      </c>
      <c r="D17" s="2" t="s">
        <v>209</v>
      </c>
      <c r="E17" s="1" t="s">
        <v>210</v>
      </c>
      <c r="F17" s="1" t="s">
        <v>211</v>
      </c>
      <c r="G17" s="3" t="s">
        <v>18</v>
      </c>
      <c r="H17" s="2" t="s">
        <v>14</v>
      </c>
    </row>
    <row r="18" spans="1:8" x14ac:dyDescent="0.3">
      <c r="A18" s="2">
        <v>17</v>
      </c>
      <c r="B18" s="1"/>
      <c r="C18" s="1" t="s">
        <v>38</v>
      </c>
      <c r="D18" s="1" t="s">
        <v>10</v>
      </c>
      <c r="E18" s="1" t="s">
        <v>39</v>
      </c>
      <c r="F18" s="1" t="s">
        <v>25</v>
      </c>
      <c r="G18" s="1" t="s">
        <v>13</v>
      </c>
      <c r="H18" s="2" t="s">
        <v>14</v>
      </c>
    </row>
    <row r="19" spans="1:8" ht="72" x14ac:dyDescent="0.3">
      <c r="A19" s="2">
        <v>18</v>
      </c>
      <c r="B19" s="1"/>
      <c r="C19" s="1"/>
      <c r="D19" s="1" t="s">
        <v>15</v>
      </c>
      <c r="E19" s="1" t="s">
        <v>26</v>
      </c>
      <c r="F19" s="1" t="s">
        <v>40</v>
      </c>
      <c r="G19" s="1" t="s">
        <v>18</v>
      </c>
      <c r="H19" s="2" t="s">
        <v>14</v>
      </c>
    </row>
    <row r="20" spans="1:8" ht="86.4" x14ac:dyDescent="0.3">
      <c r="A20" s="2">
        <v>19</v>
      </c>
      <c r="B20" s="1"/>
      <c r="C20" s="1"/>
      <c r="D20" s="1" t="s">
        <v>19</v>
      </c>
      <c r="E20" s="1" t="s">
        <v>41</v>
      </c>
      <c r="F20" s="1" t="s">
        <v>42</v>
      </c>
      <c r="G20" s="1" t="s">
        <v>22</v>
      </c>
      <c r="H20" s="2" t="s">
        <v>14</v>
      </c>
    </row>
    <row r="21" spans="1:8" x14ac:dyDescent="0.3">
      <c r="A21" s="2">
        <v>20</v>
      </c>
      <c r="B21" s="1"/>
      <c r="C21" s="1" t="s">
        <v>43</v>
      </c>
      <c r="D21" s="1" t="s">
        <v>10</v>
      </c>
      <c r="E21" s="1" t="s">
        <v>44</v>
      </c>
      <c r="F21" s="1" t="s">
        <v>25</v>
      </c>
      <c r="G21" s="1" t="s">
        <v>13</v>
      </c>
      <c r="H21" s="2" t="s">
        <v>14</v>
      </c>
    </row>
    <row r="22" spans="1:8" ht="115.2" x14ac:dyDescent="0.3">
      <c r="A22" s="2">
        <v>21</v>
      </c>
      <c r="B22" s="1"/>
      <c r="C22" s="1"/>
      <c r="D22" s="1" t="s">
        <v>15</v>
      </c>
      <c r="E22" s="1" t="s">
        <v>45</v>
      </c>
      <c r="F22" s="1" t="s">
        <v>46</v>
      </c>
      <c r="G22" s="1" t="s">
        <v>18</v>
      </c>
      <c r="H22" s="2" t="s">
        <v>14</v>
      </c>
    </row>
    <row r="23" spans="1:8" ht="129.6" x14ac:dyDescent="0.3">
      <c r="A23" s="2">
        <v>22</v>
      </c>
      <c r="B23" s="1"/>
      <c r="C23" s="1"/>
      <c r="D23" s="1" t="s">
        <v>19</v>
      </c>
      <c r="E23" s="1" t="s">
        <v>47</v>
      </c>
      <c r="F23" s="1" t="s">
        <v>48</v>
      </c>
      <c r="G23" s="1" t="s">
        <v>22</v>
      </c>
      <c r="H23" s="2" t="s">
        <v>14</v>
      </c>
    </row>
    <row r="24" spans="1:8" x14ac:dyDescent="0.3">
      <c r="A24" s="2">
        <v>23</v>
      </c>
      <c r="B24" s="1"/>
      <c r="C24" s="1" t="s">
        <v>49</v>
      </c>
      <c r="D24" s="1" t="s">
        <v>10</v>
      </c>
      <c r="E24" s="1" t="s">
        <v>50</v>
      </c>
      <c r="F24" s="1" t="s">
        <v>25</v>
      </c>
      <c r="G24" s="1" t="s">
        <v>13</v>
      </c>
      <c r="H24" s="2" t="s">
        <v>14</v>
      </c>
    </row>
    <row r="25" spans="1:8" ht="72" x14ac:dyDescent="0.3">
      <c r="A25" s="2">
        <v>24</v>
      </c>
      <c r="B25" s="1"/>
      <c r="C25" s="1"/>
      <c r="D25" s="1" t="s">
        <v>15</v>
      </c>
      <c r="E25" s="1" t="s">
        <v>26</v>
      </c>
      <c r="F25" s="1" t="s">
        <v>40</v>
      </c>
      <c r="G25" s="1" t="s">
        <v>18</v>
      </c>
      <c r="H25" s="2" t="s">
        <v>14</v>
      </c>
    </row>
    <row r="26" spans="1:8" ht="86.4" x14ac:dyDescent="0.3">
      <c r="A26" s="2">
        <v>25</v>
      </c>
      <c r="B26" s="1"/>
      <c r="C26" s="1"/>
      <c r="D26" s="1" t="s">
        <v>19</v>
      </c>
      <c r="E26" s="1" t="s">
        <v>41</v>
      </c>
      <c r="F26" s="1" t="s">
        <v>42</v>
      </c>
      <c r="G26" s="1" t="s">
        <v>22</v>
      </c>
      <c r="H26" s="2" t="s">
        <v>14</v>
      </c>
    </row>
    <row r="27" spans="1:8" ht="28.8" x14ac:dyDescent="0.3">
      <c r="A27" s="2">
        <v>26</v>
      </c>
      <c r="B27" s="1"/>
      <c r="C27" s="1" t="s">
        <v>51</v>
      </c>
      <c r="D27" s="1" t="s">
        <v>52</v>
      </c>
      <c r="E27" s="1" t="s">
        <v>53</v>
      </c>
      <c r="F27" s="1" t="s">
        <v>46</v>
      </c>
      <c r="G27" s="1" t="s">
        <v>54</v>
      </c>
      <c r="H27" s="2" t="s">
        <v>14</v>
      </c>
    </row>
    <row r="28" spans="1:8" x14ac:dyDescent="0.3">
      <c r="A28" s="2">
        <v>27</v>
      </c>
      <c r="B28" s="1"/>
      <c r="C28" s="1" t="s">
        <v>55</v>
      </c>
      <c r="D28" s="1"/>
      <c r="E28" s="1" t="s">
        <v>56</v>
      </c>
      <c r="F28" s="1" t="s">
        <v>57</v>
      </c>
      <c r="G28" s="1" t="s">
        <v>58</v>
      </c>
      <c r="H28" s="2" t="s">
        <v>14</v>
      </c>
    </row>
    <row r="29" spans="1:8" ht="72" x14ac:dyDescent="0.3">
      <c r="A29" s="2">
        <v>28</v>
      </c>
      <c r="B29" s="1" t="s">
        <v>59</v>
      </c>
      <c r="C29" s="1" t="s">
        <v>60</v>
      </c>
      <c r="D29" s="1" t="s">
        <v>61</v>
      </c>
      <c r="E29" s="1" t="s">
        <v>62</v>
      </c>
      <c r="F29" s="1" t="s">
        <v>63</v>
      </c>
      <c r="G29" s="1" t="s">
        <v>64</v>
      </c>
      <c r="H29" s="2" t="s">
        <v>14</v>
      </c>
    </row>
    <row r="30" spans="1:8" ht="72" x14ac:dyDescent="0.3">
      <c r="A30" s="2">
        <v>29</v>
      </c>
      <c r="B30" s="1"/>
      <c r="C30" s="1"/>
      <c r="D30" s="2"/>
      <c r="E30" s="1" t="s">
        <v>65</v>
      </c>
      <c r="F30" s="1" t="s">
        <v>66</v>
      </c>
      <c r="G30" s="1" t="s">
        <v>64</v>
      </c>
      <c r="H30" s="2" t="s">
        <v>14</v>
      </c>
    </row>
    <row r="31" spans="1:8" ht="86.4" x14ac:dyDescent="0.3">
      <c r="A31" s="2">
        <v>30</v>
      </c>
      <c r="B31" s="1"/>
      <c r="C31" s="1" t="s">
        <v>67</v>
      </c>
      <c r="D31" s="1" t="s">
        <v>68</v>
      </c>
      <c r="E31" s="1" t="s">
        <v>69</v>
      </c>
      <c r="F31" s="1" t="s">
        <v>66</v>
      </c>
      <c r="G31" s="1" t="s">
        <v>64</v>
      </c>
      <c r="H31" s="2" t="s">
        <v>14</v>
      </c>
    </row>
    <row r="32" spans="1:8" ht="86.4" x14ac:dyDescent="0.3">
      <c r="A32" s="2">
        <v>31</v>
      </c>
      <c r="B32" s="1"/>
      <c r="C32" s="1" t="s">
        <v>70</v>
      </c>
      <c r="D32" s="1"/>
      <c r="E32" s="1" t="s">
        <v>71</v>
      </c>
      <c r="F32" s="1" t="s">
        <v>72</v>
      </c>
      <c r="G32" s="1" t="s">
        <v>64</v>
      </c>
      <c r="H32" s="2" t="s">
        <v>14</v>
      </c>
    </row>
    <row r="33" spans="1:8" ht="28.8" x14ac:dyDescent="0.3">
      <c r="A33" s="2">
        <v>32</v>
      </c>
      <c r="B33" s="1"/>
      <c r="C33" s="1" t="s">
        <v>73</v>
      </c>
      <c r="D33" s="1" t="s">
        <v>74</v>
      </c>
      <c r="E33" s="1" t="s">
        <v>75</v>
      </c>
      <c r="F33" s="1" t="s">
        <v>76</v>
      </c>
      <c r="G33" s="1" t="s">
        <v>64</v>
      </c>
      <c r="H33" s="2" t="s">
        <v>14</v>
      </c>
    </row>
    <row r="34" spans="1:8" ht="57.6" x14ac:dyDescent="0.3">
      <c r="A34" s="2">
        <v>33</v>
      </c>
      <c r="B34" s="1"/>
      <c r="C34" s="1"/>
      <c r="D34" s="1" t="s">
        <v>77</v>
      </c>
      <c r="E34" s="1" t="s">
        <v>78</v>
      </c>
      <c r="F34" s="1" t="s">
        <v>79</v>
      </c>
      <c r="G34" s="1" t="s">
        <v>64</v>
      </c>
      <c r="H34" s="2" t="s">
        <v>14</v>
      </c>
    </row>
    <row r="35" spans="1:8" ht="72" x14ac:dyDescent="0.3">
      <c r="A35" s="2">
        <v>34</v>
      </c>
      <c r="B35" s="1"/>
      <c r="C35" s="1"/>
      <c r="D35" s="1" t="s">
        <v>80</v>
      </c>
      <c r="E35" s="1" t="s">
        <v>81</v>
      </c>
      <c r="F35" s="1" t="s">
        <v>82</v>
      </c>
      <c r="G35" s="1" t="s">
        <v>95</v>
      </c>
      <c r="H35" s="2" t="s">
        <v>14</v>
      </c>
    </row>
    <row r="36" spans="1:8" ht="28.8" x14ac:dyDescent="0.3">
      <c r="A36" s="2">
        <v>35</v>
      </c>
      <c r="B36" s="1"/>
      <c r="C36" s="1" t="s">
        <v>83</v>
      </c>
      <c r="D36" s="1" t="s">
        <v>84</v>
      </c>
      <c r="E36" s="1" t="s">
        <v>85</v>
      </c>
      <c r="F36" s="1" t="s">
        <v>86</v>
      </c>
      <c r="G36" s="1" t="s">
        <v>87</v>
      </c>
      <c r="H36" s="2" t="s">
        <v>14</v>
      </c>
    </row>
    <row r="37" spans="1:8" ht="129.6" x14ac:dyDescent="0.3">
      <c r="A37" s="2">
        <v>36</v>
      </c>
      <c r="B37" s="1"/>
      <c r="C37" s="1" t="s">
        <v>206</v>
      </c>
      <c r="D37" s="2" t="s">
        <v>207</v>
      </c>
      <c r="E37" s="1" t="s">
        <v>224</v>
      </c>
      <c r="F37" s="1" t="s">
        <v>222</v>
      </c>
      <c r="G37" s="1" t="s">
        <v>215</v>
      </c>
      <c r="H37" s="2" t="s">
        <v>14</v>
      </c>
    </row>
    <row r="38" spans="1:8" ht="72" x14ac:dyDescent="0.3">
      <c r="A38" s="2">
        <v>37</v>
      </c>
      <c r="B38" s="1"/>
      <c r="C38" s="1"/>
      <c r="D38" s="1" t="s">
        <v>212</v>
      </c>
      <c r="E38" s="2" t="s">
        <v>223</v>
      </c>
      <c r="F38" s="1" t="s">
        <v>225</v>
      </c>
      <c r="G38" s="1" t="s">
        <v>215</v>
      </c>
      <c r="H38" s="2" t="s">
        <v>14</v>
      </c>
    </row>
    <row r="39" spans="1:8" ht="28.8" x14ac:dyDescent="0.3">
      <c r="A39" s="2">
        <v>38</v>
      </c>
      <c r="B39" s="1"/>
      <c r="C39" s="1"/>
      <c r="D39" s="1" t="s">
        <v>88</v>
      </c>
      <c r="E39" s="1" t="s">
        <v>89</v>
      </c>
      <c r="F39" s="1" t="s">
        <v>86</v>
      </c>
      <c r="G39" s="1" t="s">
        <v>64</v>
      </c>
      <c r="H39" s="2" t="s">
        <v>14</v>
      </c>
    </row>
    <row r="40" spans="1:8" ht="28.8" x14ac:dyDescent="0.3">
      <c r="A40" s="2">
        <v>39</v>
      </c>
      <c r="B40" s="1" t="s">
        <v>90</v>
      </c>
      <c r="C40" s="1" t="s">
        <v>91</v>
      </c>
      <c r="D40" s="1" t="s">
        <v>92</v>
      </c>
      <c r="E40" s="1" t="s">
        <v>93</v>
      </c>
      <c r="F40" s="1" t="s">
        <v>94</v>
      </c>
      <c r="G40" s="1" t="s">
        <v>95</v>
      </c>
      <c r="H40" s="2" t="s">
        <v>14</v>
      </c>
    </row>
    <row r="41" spans="1:8" ht="43.2" x14ac:dyDescent="0.3">
      <c r="A41" s="2">
        <v>40</v>
      </c>
      <c r="B41" s="1"/>
      <c r="C41" s="1" t="s">
        <v>96</v>
      </c>
      <c r="D41" s="1" t="s">
        <v>97</v>
      </c>
      <c r="E41" s="1" t="s">
        <v>98</v>
      </c>
      <c r="F41" s="1" t="s">
        <v>94</v>
      </c>
      <c r="G41" s="1" t="s">
        <v>95</v>
      </c>
      <c r="H41" s="2" t="s">
        <v>14</v>
      </c>
    </row>
    <row r="42" spans="1:8" ht="43.2" x14ac:dyDescent="0.3">
      <c r="A42" s="2">
        <v>41</v>
      </c>
      <c r="B42" s="1"/>
      <c r="C42" s="1"/>
      <c r="D42" s="1" t="s">
        <v>99</v>
      </c>
      <c r="E42" s="1" t="s">
        <v>100</v>
      </c>
      <c r="F42" s="1" t="s">
        <v>101</v>
      </c>
      <c r="G42" s="1" t="s">
        <v>95</v>
      </c>
      <c r="H42" s="2" t="s">
        <v>14</v>
      </c>
    </row>
    <row r="43" spans="1:8" ht="43.2" x14ac:dyDescent="0.3">
      <c r="A43" s="2">
        <v>42</v>
      </c>
      <c r="B43" s="1"/>
      <c r="C43" s="1"/>
      <c r="D43" s="1" t="s">
        <v>102</v>
      </c>
      <c r="E43" s="1" t="s">
        <v>103</v>
      </c>
      <c r="F43" s="1" t="s">
        <v>104</v>
      </c>
      <c r="G43" s="1" t="s">
        <v>95</v>
      </c>
      <c r="H43" s="2" t="s">
        <v>14</v>
      </c>
    </row>
    <row r="44" spans="1:8" ht="43.2" x14ac:dyDescent="0.3">
      <c r="A44" s="2">
        <v>43</v>
      </c>
      <c r="B44" s="1"/>
      <c r="C44" s="1"/>
      <c r="D44" s="1" t="s">
        <v>105</v>
      </c>
      <c r="E44" s="1" t="s">
        <v>106</v>
      </c>
      <c r="F44" s="1" t="s">
        <v>107</v>
      </c>
      <c r="G44" s="1" t="s">
        <v>95</v>
      </c>
      <c r="H44" s="2" t="s">
        <v>14</v>
      </c>
    </row>
    <row r="45" spans="1:8" ht="43.2" x14ac:dyDescent="0.3">
      <c r="A45" s="2">
        <v>44</v>
      </c>
      <c r="B45" s="1"/>
      <c r="C45" s="1"/>
      <c r="D45" s="1" t="s">
        <v>108</v>
      </c>
      <c r="E45" s="1" t="s">
        <v>109</v>
      </c>
      <c r="F45" s="1" t="s">
        <v>110</v>
      </c>
      <c r="G45" s="1" t="s">
        <v>95</v>
      </c>
      <c r="H45" s="2" t="s">
        <v>14</v>
      </c>
    </row>
    <row r="46" spans="1:8" ht="43.2" x14ac:dyDescent="0.3">
      <c r="A46" s="2">
        <v>45</v>
      </c>
      <c r="B46" s="1"/>
      <c r="C46" s="1"/>
      <c r="D46" s="1" t="s">
        <v>111</v>
      </c>
      <c r="E46" s="1" t="s">
        <v>112</v>
      </c>
      <c r="F46" s="1" t="s">
        <v>113</v>
      </c>
      <c r="G46" s="1" t="s">
        <v>95</v>
      </c>
      <c r="H46" s="2" t="s">
        <v>14</v>
      </c>
    </row>
    <row r="47" spans="1:8" ht="43.2" x14ac:dyDescent="0.3">
      <c r="A47" s="2">
        <v>46</v>
      </c>
      <c r="B47" s="1"/>
      <c r="C47" s="1"/>
      <c r="D47" s="1" t="s">
        <v>114</v>
      </c>
      <c r="E47" s="1" t="s">
        <v>115</v>
      </c>
      <c r="F47" s="1" t="s">
        <v>116</v>
      </c>
      <c r="G47" s="1" t="s">
        <v>95</v>
      </c>
      <c r="H47" s="2" t="s">
        <v>14</v>
      </c>
    </row>
    <row r="48" spans="1:8" ht="43.2" x14ac:dyDescent="0.3">
      <c r="A48" s="2">
        <v>47</v>
      </c>
      <c r="B48" s="1"/>
      <c r="C48" s="1"/>
      <c r="D48" s="1" t="s">
        <v>117</v>
      </c>
      <c r="E48" s="1" t="s">
        <v>118</v>
      </c>
      <c r="F48" s="1" t="s">
        <v>119</v>
      </c>
      <c r="G48" s="1" t="s">
        <v>95</v>
      </c>
      <c r="H48" s="2" t="s">
        <v>14</v>
      </c>
    </row>
    <row r="49" spans="1:8" ht="43.2" x14ac:dyDescent="0.3">
      <c r="A49" s="2">
        <v>48</v>
      </c>
      <c r="B49" s="1"/>
      <c r="C49" s="1"/>
      <c r="D49" s="1" t="s">
        <v>120</v>
      </c>
      <c r="E49" s="1" t="s">
        <v>121</v>
      </c>
      <c r="F49" s="1" t="s">
        <v>122</v>
      </c>
      <c r="G49" s="1" t="s">
        <v>95</v>
      </c>
      <c r="H49" s="2" t="s">
        <v>14</v>
      </c>
    </row>
    <row r="50" spans="1:8" ht="28.8" x14ac:dyDescent="0.3">
      <c r="A50" s="2">
        <v>49</v>
      </c>
      <c r="B50" s="1"/>
      <c r="C50" s="1" t="s">
        <v>123</v>
      </c>
      <c r="D50" s="1" t="s">
        <v>124</v>
      </c>
      <c r="E50" s="1" t="s">
        <v>125</v>
      </c>
      <c r="F50" s="1" t="s">
        <v>126</v>
      </c>
      <c r="G50" s="1" t="s">
        <v>95</v>
      </c>
      <c r="H50" s="2" t="s">
        <v>14</v>
      </c>
    </row>
    <row r="51" spans="1:8" ht="72" x14ac:dyDescent="0.3">
      <c r="A51" s="2">
        <v>50</v>
      </c>
      <c r="B51" s="1" t="s">
        <v>127</v>
      </c>
      <c r="C51" s="1" t="s">
        <v>128</v>
      </c>
      <c r="D51" s="1" t="s">
        <v>129</v>
      </c>
      <c r="E51" s="1" t="s">
        <v>130</v>
      </c>
      <c r="F51" s="1" t="s">
        <v>131</v>
      </c>
      <c r="G51" s="1" t="s">
        <v>132</v>
      </c>
      <c r="H51" s="2" t="s">
        <v>14</v>
      </c>
    </row>
    <row r="52" spans="1:8" ht="43.2" x14ac:dyDescent="0.3">
      <c r="A52" s="2">
        <v>51</v>
      </c>
      <c r="B52" s="1"/>
      <c r="C52" s="1" t="s">
        <v>133</v>
      </c>
      <c r="D52" s="1" t="s">
        <v>134</v>
      </c>
      <c r="E52" s="1" t="s">
        <v>135</v>
      </c>
      <c r="F52" s="1" t="s">
        <v>136</v>
      </c>
      <c r="G52" s="1" t="s">
        <v>132</v>
      </c>
      <c r="H52" s="2" t="s">
        <v>14</v>
      </c>
    </row>
    <row r="53" spans="1:8" x14ac:dyDescent="0.3">
      <c r="A53" s="2">
        <v>52</v>
      </c>
      <c r="B53" s="1" t="s">
        <v>137</v>
      </c>
      <c r="C53" s="1" t="s">
        <v>138</v>
      </c>
      <c r="D53" s="1"/>
      <c r="E53" s="1" t="s">
        <v>139</v>
      </c>
      <c r="F53" s="1" t="s">
        <v>140</v>
      </c>
      <c r="G53" s="1" t="s">
        <v>141</v>
      </c>
      <c r="H53" s="2" t="s">
        <v>14</v>
      </c>
    </row>
    <row r="54" spans="1:8" ht="28.8" x14ac:dyDescent="0.3">
      <c r="A54" s="2">
        <v>53</v>
      </c>
      <c r="B54" s="1"/>
      <c r="C54" s="1" t="s">
        <v>142</v>
      </c>
      <c r="D54" s="1" t="s">
        <v>143</v>
      </c>
      <c r="E54" s="1" t="s">
        <v>144</v>
      </c>
      <c r="F54" s="1" t="s">
        <v>145</v>
      </c>
      <c r="G54" s="1" t="s">
        <v>141</v>
      </c>
      <c r="H54" s="2" t="s">
        <v>14</v>
      </c>
    </row>
    <row r="55" spans="1:8" ht="28.8" x14ac:dyDescent="0.3">
      <c r="A55" s="2">
        <v>54</v>
      </c>
      <c r="B55" s="1"/>
      <c r="C55" s="1"/>
      <c r="D55" s="1" t="s">
        <v>146</v>
      </c>
      <c r="E55" s="1" t="s">
        <v>144</v>
      </c>
      <c r="F55" s="1" t="s">
        <v>145</v>
      </c>
      <c r="G55" s="1" t="s">
        <v>141</v>
      </c>
      <c r="H55" s="2" t="s">
        <v>14</v>
      </c>
    </row>
    <row r="56" spans="1:8" ht="28.8" x14ac:dyDescent="0.3">
      <c r="A56" s="2">
        <v>55</v>
      </c>
      <c r="B56" s="1"/>
      <c r="C56" s="1" t="s">
        <v>147</v>
      </c>
      <c r="D56" s="1" t="s">
        <v>148</v>
      </c>
      <c r="E56" s="1" t="s">
        <v>149</v>
      </c>
      <c r="F56" s="1" t="s">
        <v>150</v>
      </c>
      <c r="G56" s="1" t="s">
        <v>151</v>
      </c>
      <c r="H56" s="2" t="s">
        <v>14</v>
      </c>
    </row>
    <row r="57" spans="1:8" ht="115.2" x14ac:dyDescent="0.3">
      <c r="A57" s="2">
        <v>56</v>
      </c>
      <c r="B57" s="1"/>
      <c r="C57" s="1" t="s">
        <v>152</v>
      </c>
      <c r="D57" s="1" t="s">
        <v>153</v>
      </c>
      <c r="E57" s="1" t="s">
        <v>154</v>
      </c>
      <c r="F57" s="1" t="s">
        <v>155</v>
      </c>
      <c r="G57" s="1" t="s">
        <v>156</v>
      </c>
      <c r="H57" s="2" t="s">
        <v>14</v>
      </c>
    </row>
    <row r="58" spans="1:8" ht="57.6" x14ac:dyDescent="0.3">
      <c r="A58" s="2">
        <v>57</v>
      </c>
      <c r="B58" s="1"/>
      <c r="C58" s="1"/>
      <c r="D58" s="1" t="s">
        <v>157</v>
      </c>
      <c r="E58" s="1" t="s">
        <v>158</v>
      </c>
      <c r="F58" s="1" t="s">
        <v>159</v>
      </c>
      <c r="G58" s="1" t="s">
        <v>156</v>
      </c>
      <c r="H58" s="2" t="s">
        <v>14</v>
      </c>
    </row>
    <row r="59" spans="1:8" x14ac:dyDescent="0.3">
      <c r="A59" s="2">
        <v>58</v>
      </c>
      <c r="B59" s="1"/>
      <c r="C59" s="1"/>
      <c r="D59" s="1" t="s">
        <v>160</v>
      </c>
      <c r="E59" s="1" t="s">
        <v>161</v>
      </c>
      <c r="F59" s="1" t="s">
        <v>162</v>
      </c>
      <c r="G59" s="1" t="s">
        <v>156</v>
      </c>
      <c r="H59" s="2" t="s">
        <v>14</v>
      </c>
    </row>
    <row r="60" spans="1:8" ht="43.2" x14ac:dyDescent="0.3">
      <c r="A60" s="2">
        <v>59</v>
      </c>
      <c r="B60" s="1"/>
      <c r="C60" s="1" t="s">
        <v>163</v>
      </c>
      <c r="D60" s="1" t="s">
        <v>164</v>
      </c>
      <c r="E60" s="1" t="s">
        <v>165</v>
      </c>
      <c r="F60" s="1" t="s">
        <v>140</v>
      </c>
      <c r="G60" s="1" t="s">
        <v>166</v>
      </c>
      <c r="H60" s="2" t="s">
        <v>14</v>
      </c>
    </row>
    <row r="61" spans="1:8" ht="43.2" x14ac:dyDescent="0.3">
      <c r="A61" s="2">
        <v>60</v>
      </c>
      <c r="B61" s="1"/>
      <c r="C61" s="1"/>
      <c r="D61" s="1" t="s">
        <v>167</v>
      </c>
      <c r="E61" s="1" t="s">
        <v>168</v>
      </c>
      <c r="F61" s="1" t="s">
        <v>140</v>
      </c>
      <c r="G61" s="1" t="s">
        <v>166</v>
      </c>
      <c r="H61" s="2" t="s">
        <v>14</v>
      </c>
    </row>
    <row r="62" spans="1:8" ht="28.8" x14ac:dyDescent="0.3">
      <c r="A62" s="2">
        <v>61</v>
      </c>
      <c r="B62" s="1"/>
      <c r="C62" s="1" t="s">
        <v>169</v>
      </c>
      <c r="D62" s="1"/>
      <c r="E62" s="1" t="s">
        <v>170</v>
      </c>
      <c r="F62" s="1" t="s">
        <v>171</v>
      </c>
      <c r="G62" s="1" t="s">
        <v>172</v>
      </c>
      <c r="H62" s="2" t="s">
        <v>14</v>
      </c>
    </row>
    <row r="63" spans="1:8" ht="43.2" x14ac:dyDescent="0.3">
      <c r="A63" s="2">
        <v>62</v>
      </c>
      <c r="B63" s="1" t="s">
        <v>173</v>
      </c>
      <c r="C63" s="1" t="s">
        <v>174</v>
      </c>
      <c r="D63" s="1" t="s">
        <v>175</v>
      </c>
      <c r="E63" s="1" t="s">
        <v>176</v>
      </c>
      <c r="F63" s="1" t="s">
        <v>177</v>
      </c>
      <c r="G63" s="1" t="s">
        <v>18</v>
      </c>
      <c r="H63" s="2" t="s">
        <v>14</v>
      </c>
    </row>
    <row r="64" spans="1:8" ht="72" x14ac:dyDescent="0.3">
      <c r="A64" s="2">
        <v>63</v>
      </c>
      <c r="B64" s="1"/>
      <c r="C64" s="1" t="s">
        <v>178</v>
      </c>
      <c r="D64" s="1" t="s">
        <v>179</v>
      </c>
      <c r="E64" s="1" t="s">
        <v>180</v>
      </c>
      <c r="F64" s="1" t="s">
        <v>181</v>
      </c>
      <c r="G64" s="1" t="s">
        <v>87</v>
      </c>
      <c r="H64" s="2" t="s">
        <v>14</v>
      </c>
    </row>
    <row r="65" spans="1:8" ht="43.2" x14ac:dyDescent="0.3">
      <c r="A65" s="2">
        <v>64</v>
      </c>
      <c r="B65" s="1" t="s">
        <v>182</v>
      </c>
      <c r="C65" s="1" t="s">
        <v>183</v>
      </c>
      <c r="D65" s="1" t="s">
        <v>184</v>
      </c>
      <c r="E65" s="1" t="s">
        <v>185</v>
      </c>
      <c r="F65" s="1" t="s">
        <v>186</v>
      </c>
      <c r="G65" s="1" t="s">
        <v>87</v>
      </c>
      <c r="H65" s="2" t="s">
        <v>14</v>
      </c>
    </row>
    <row r="66" spans="1:8" ht="72" x14ac:dyDescent="0.3">
      <c r="A66" s="2">
        <v>65</v>
      </c>
      <c r="B66" s="1"/>
      <c r="C66" s="1"/>
      <c r="D66" s="1" t="s">
        <v>187</v>
      </c>
      <c r="E66" s="1" t="s">
        <v>188</v>
      </c>
      <c r="F66" s="1" t="s">
        <v>189</v>
      </c>
      <c r="G66" s="1" t="s">
        <v>87</v>
      </c>
      <c r="H66" s="2" t="s">
        <v>14</v>
      </c>
    </row>
    <row r="67" spans="1:8" ht="28.8" x14ac:dyDescent="0.3">
      <c r="A67" s="2">
        <v>66</v>
      </c>
      <c r="B67" s="1"/>
      <c r="C67" s="1"/>
      <c r="D67" s="1" t="s">
        <v>190</v>
      </c>
      <c r="E67" s="1" t="s">
        <v>191</v>
      </c>
      <c r="F67" s="1" t="s">
        <v>186</v>
      </c>
      <c r="G67" s="1" t="s">
        <v>87</v>
      </c>
      <c r="H67" s="2" t="s">
        <v>14</v>
      </c>
    </row>
    <row r="68" spans="1:8" ht="57.6" x14ac:dyDescent="0.3">
      <c r="A68" s="2">
        <v>67</v>
      </c>
      <c r="B68" s="1"/>
      <c r="C68" s="1" t="s">
        <v>192</v>
      </c>
      <c r="D68" s="1" t="s">
        <v>184</v>
      </c>
      <c r="E68" s="1" t="s">
        <v>193</v>
      </c>
      <c r="F68" s="1" t="s">
        <v>194</v>
      </c>
      <c r="G68" s="1" t="s">
        <v>87</v>
      </c>
      <c r="H68" s="2" t="s">
        <v>14</v>
      </c>
    </row>
    <row r="69" spans="1:8" ht="86.4" x14ac:dyDescent="0.3">
      <c r="A69" s="2">
        <v>68</v>
      </c>
      <c r="B69" s="1"/>
      <c r="C69" s="1"/>
      <c r="D69" s="1" t="s">
        <v>187</v>
      </c>
      <c r="E69" s="1" t="s">
        <v>195</v>
      </c>
      <c r="F69" s="1" t="s">
        <v>196</v>
      </c>
      <c r="G69" s="1" t="s">
        <v>87</v>
      </c>
      <c r="H69" s="2" t="s">
        <v>14</v>
      </c>
    </row>
    <row r="70" spans="1:8" ht="43.2" x14ac:dyDescent="0.3">
      <c r="A70" s="2">
        <v>69</v>
      </c>
      <c r="B70" s="1"/>
      <c r="C70" s="1"/>
      <c r="D70" s="1" t="s">
        <v>190</v>
      </c>
      <c r="E70" s="1" t="s">
        <v>197</v>
      </c>
      <c r="F70" s="1" t="s">
        <v>194</v>
      </c>
      <c r="G70" s="1" t="s">
        <v>87</v>
      </c>
      <c r="H70" s="2" t="s">
        <v>14</v>
      </c>
    </row>
    <row r="71" spans="1:8" ht="72" x14ac:dyDescent="0.3">
      <c r="A71" s="2">
        <v>70</v>
      </c>
      <c r="B71" s="1"/>
      <c r="C71" s="1"/>
      <c r="D71" s="1" t="s">
        <v>198</v>
      </c>
      <c r="E71" s="1" t="s">
        <v>199</v>
      </c>
      <c r="F71" s="1" t="s">
        <v>200</v>
      </c>
      <c r="G71" s="1" t="s">
        <v>87</v>
      </c>
      <c r="H71" s="2" t="s">
        <v>14</v>
      </c>
    </row>
    <row r="72" spans="1:8" ht="57.6" x14ac:dyDescent="0.3">
      <c r="A72" s="2">
        <v>71</v>
      </c>
      <c r="B72" s="1"/>
      <c r="C72" s="1" t="s">
        <v>201</v>
      </c>
      <c r="D72" s="1"/>
      <c r="E72" s="1" t="s">
        <v>202</v>
      </c>
      <c r="F72" s="1" t="s">
        <v>203</v>
      </c>
      <c r="G72" s="1" t="s">
        <v>87</v>
      </c>
      <c r="H72" s="2" t="s">
        <v>14</v>
      </c>
    </row>
    <row r="73" spans="1:8" ht="43.2" x14ac:dyDescent="0.3">
      <c r="A73" s="2">
        <v>72</v>
      </c>
      <c r="B73" s="1"/>
      <c r="C73" s="1" t="s">
        <v>204</v>
      </c>
      <c r="D73" s="1" t="s">
        <v>213</v>
      </c>
      <c r="E73" s="1" t="s">
        <v>214</v>
      </c>
      <c r="F73" s="1" t="s">
        <v>205</v>
      </c>
      <c r="G73" s="1" t="s">
        <v>87</v>
      </c>
      <c r="H73" s="2" t="s">
        <v>14</v>
      </c>
    </row>
    <row r="75" spans="1:8" x14ac:dyDescent="0.3">
      <c r="A75" s="5"/>
      <c r="B75" s="4"/>
      <c r="C75" s="4"/>
      <c r="D75" s="4"/>
      <c r="E75" s="4"/>
      <c r="F75" s="4"/>
      <c r="G75" s="4"/>
      <c r="H75" s="5"/>
    </row>
  </sheetData>
  <mergeCells count="1">
    <mergeCell ref="J2:K2"/>
  </mergeCells>
  <conditionalFormatting sqref="H1:H73 H75">
    <cfRule type="cellIs" dxfId="1" priority="1" operator="equal">
      <formula>"PASSED"</formula>
    </cfRule>
    <cfRule type="cellIs" dxfId="0" priority="2" operator="equal">
      <formula>"FAILED"</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Tuan Nguyen</dc:creator>
  <cp:lastModifiedBy>Tuan Nguyen</cp:lastModifiedBy>
  <dcterms:created xsi:type="dcterms:W3CDTF">2026-10-14T12:51:44Z</dcterms:created>
  <dcterms:modified xsi:type="dcterms:W3CDTF">2026-10-26T11:12:48Z</dcterms:modified>
</cp:coreProperties>
</file>